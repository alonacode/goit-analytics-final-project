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план" sheetId="1" state="visible" r:id="rId1"/>
    <sheet xmlns:r="http://schemas.openxmlformats.org/officeDocument/2006/relationships" name="Розмір вибір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  <font>
      <b val="1"/>
      <color rgb="00FFFFFF"/>
      <sz val="14"/>
    </font>
    <font>
      <b val="1"/>
      <color rgb="00FFFFFF"/>
      <sz val="12"/>
    </font>
    <font>
      <b val="1"/>
      <color rgb="002F5597"/>
    </font>
    <font>
      <b val="1"/>
      <color rgb="000000FF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AF1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4" borderId="0" applyAlignment="1" pivotButton="0" quotePrefix="0" xfId="0">
      <alignment vertical="center" wrapText="1" indent="1"/>
    </xf>
    <xf numFmtId="0" fontId="0" fillId="4" borderId="0" pivotButton="0" quotePrefix="0" xfId="0"/>
    <xf numFmtId="0" fontId="2" fillId="2" borderId="0" applyAlignment="1" pivotButton="0" quotePrefix="0" xfId="0">
      <alignment horizontal="center" wrapText="1"/>
    </xf>
    <xf numFmtId="0" fontId="6" fillId="5" borderId="1" pivotButton="0" quotePrefix="0" xfId="0"/>
    <xf numFmtId="0" fontId="4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4" borderId="0" applyAlignment="1" pivotButton="0" quotePrefix="0" xfId="0">
      <alignment vertical="center" wrapText="1" indent="1"/>
    </xf>
    <xf numFmtId="10" fontId="0" fillId="6" borderId="1" applyAlignment="1" pivotButton="0" quotePrefix="0" xfId="0">
      <alignment vertical="center"/>
    </xf>
    <xf numFmtId="9" fontId="8" fillId="6" borderId="1" applyAlignment="1" pivotButton="0" quotePrefix="0" xfId="0">
      <alignment vertical="center"/>
    </xf>
    <xf numFmtId="2" fontId="8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4" fillId="7" borderId="1" applyAlignment="1" pivotButton="0" quotePrefix="0" xfId="0">
      <alignment vertical="top" wrapText="1"/>
    </xf>
    <xf numFmtId="3" fontId="4" fillId="7" borderId="1" applyAlignment="1" pivotButton="0" quotePrefix="0" xfId="0">
      <alignment vertical="center"/>
    </xf>
    <xf numFmtId="3" fontId="0" fillId="6" borderId="1" applyAlignment="1" pivotButton="0" quotePrefix="0" xfId="0">
      <alignment vertical="center"/>
    </xf>
    <xf numFmtId="1" fontId="4" fillId="7" borderId="1" applyAlignment="1" pivotButton="0" quotePrefix="0" xfId="0">
      <alignment vertical="center"/>
    </xf>
    <xf numFmtId="0" fontId="7" fillId="0" borderId="0" pivotButton="0" quotePrefix="0" xfId="0"/>
    <xf numFmtId="0" fontId="0" fillId="6" borderId="1" applyAlignment="1" pivotButton="0" quotePrefix="0" xfId="0">
      <alignment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28" customHeight="1">
      <c r="A1" s="1" t="inlineStr">
        <is>
          <t>Тест-план: A/B-тест нового підходу до онлайн-реклами</t>
        </is>
      </c>
      <c r="B1" s="2" t="n"/>
    </row>
    <row r="3">
      <c r="A3" s="3" t="inlineStr">
        <is>
          <t>Розділ</t>
        </is>
      </c>
      <c r="B3" s="3" t="inlineStr">
        <is>
          <t>Опис</t>
        </is>
      </c>
    </row>
    <row r="4" ht="22" customHeight="1">
      <c r="A4" s="4" t="inlineStr">
        <is>
          <t>1. Мета тесту</t>
        </is>
      </c>
      <c r="B4" s="4" t="n"/>
    </row>
    <row r="5">
      <c r="A5" s="5" t="inlineStr">
        <is>
          <t>Гіпотеза H0</t>
        </is>
      </c>
      <c r="B5" s="6" t="inlineStr">
        <is>
          <t>Новий підхід не змінює конверсію клік→покупка та CPA порівняно з поточним.</t>
        </is>
      </c>
    </row>
    <row r="6" ht="34" customHeight="1">
      <c r="A6" s="5" t="inlineStr">
        <is>
          <t>Гіпотеза H1</t>
        </is>
      </c>
      <c r="B6" s="6" t="inlineStr">
        <is>
          <t>Новий підхід змінює (очікуємо: покращує) конверсію клік→покупка та/або знижує CPA. Двосторонній тест, α = 0.05, потужність 80%.</t>
        </is>
      </c>
    </row>
    <row r="7" ht="34" customHeight="1">
      <c r="A7" s="5" t="inlineStr">
        <is>
          <t>Що хочемо з'ясувати</t>
        </is>
      </c>
      <c r="B7" s="6" t="inlineStr">
        <is>
          <t>Чи дає нове розміщення більше покупок на кліки й на витрачений долар, і чи не погіршує воно інші етапи воронки.</t>
        </is>
      </c>
    </row>
    <row r="8" ht="22" customHeight="1">
      <c r="A8" s="4" t="inlineStr">
        <is>
          <t>2. Метрики</t>
        </is>
      </c>
      <c r="B8" s="4" t="n"/>
    </row>
    <row r="9" ht="34" customHeight="1">
      <c r="A9" s="5" t="inlineStr">
        <is>
          <t>Основна метрика (North Star)</t>
        </is>
      </c>
      <c r="B9" s="6" t="inlineStr">
        <is>
          <t>Конверсія клік→покупка = Purchase / Website Clicks. Додатково для бізнес-рішення — CPA = Spend / Purchase.</t>
        </is>
      </c>
    </row>
    <row r="10" ht="34" customHeight="1">
      <c r="A10" s="5" t="inlineStr">
        <is>
          <t>Вторинні метрики</t>
        </is>
      </c>
      <c r="B10" s="6" t="inlineStr">
        <is>
          <t>CTR (кліки/покази), CPC (витрати/кліки), конверсії кроків воронки: клік→пошук, пошук→перегляд, перегляд→кошик, кошик→покупка.</t>
        </is>
      </c>
    </row>
    <row r="11">
      <c r="A11" s="5" t="inlineStr">
        <is>
          <t>Захисні метрики (guardrails)</t>
        </is>
      </c>
      <c r="B11" s="6" t="inlineStr">
        <is>
          <t>Spend, Reach, Impressions, CPM — щоб не допустити неконтрольованого росту витрат і падіння охвату.</t>
        </is>
      </c>
    </row>
    <row r="12" ht="22" customHeight="1">
      <c r="A12" s="4" t="inlineStr">
        <is>
          <t>3. Дизайн тесту</t>
        </is>
      </c>
      <c r="B12" s="4" t="n"/>
    </row>
    <row r="13">
      <c r="A13" s="5" t="inlineStr">
        <is>
          <t>Групи</t>
        </is>
      </c>
      <c r="B13" s="6" t="inlineStr">
        <is>
          <t>Control Campaign — поточний підхід. Test Campaign — новий підхід.</t>
        </is>
      </c>
    </row>
    <row r="14" ht="34" customHeight="1">
      <c r="A14" s="5" t="inlineStr">
        <is>
          <t>Розподіл</t>
        </is>
      </c>
      <c r="B14" s="6" t="inlineStr">
        <is>
          <t>Випадковий поділ 50/50 на рівні користувача (cookie / user_id); кожен користувач бачить лише одну версію. Групи працюють одночасно.</t>
        </is>
      </c>
    </row>
    <row r="15" ht="49" customHeight="1">
      <c r="A15" s="5" t="inlineStr">
        <is>
          <t>Бюджет у наших даних</t>
        </is>
      </c>
      <c r="B15" s="6" t="inlineStr">
        <is>
          <t>Control: $68653 за серпень (разом із $1835 за 5.08, коли метрики воронки порожні); Test: $76892 (+12% у сумі за місяць; на день +11%, бо в контролі 29 днів із даними). Різницю треба враховувати: порівнюємо відношення (конверсії, CPA), а не абсолютні суми.</t>
        </is>
      </c>
    </row>
    <row r="16">
      <c r="A16" s="5" t="inlineStr">
        <is>
          <t>Умови</t>
        </is>
      </c>
      <c r="B16" s="6" t="inlineStr">
        <is>
          <t>Однакові аудиторії та креативи, окрім змінної тесту; налаштування кампаній не змінюємо під час тесту.</t>
        </is>
      </c>
    </row>
    <row r="17" ht="22" customHeight="1">
      <c r="A17" s="4" t="inlineStr">
        <is>
          <t>4. Тривалість</t>
        </is>
      </c>
      <c r="B17" s="4" t="n"/>
    </row>
    <row r="18" ht="34" customHeight="1">
      <c r="A18" s="5" t="inlineStr">
        <is>
          <t>Період</t>
        </is>
      </c>
      <c r="B18" s="6" t="inlineStr">
        <is>
          <t>Мінімум 2 повні тижні, щоб покрити всі дні тижня; у нашому експерименті — 1–30 серпня 2019 (30 днів, по 4+ рази кожен день тижня).</t>
        </is>
      </c>
    </row>
    <row r="19" ht="34" customHeight="1">
      <c r="A19" s="5" t="inlineStr">
        <is>
          <t>Дострокова зупинка</t>
        </is>
      </c>
      <c r="B19" s="6" t="inlineStr">
        <is>
          <t>Лише за суттєвого збитку (наприклад, конверсія впала вдвічі). Інакше не зупиняємо за проміжним p-value — це завищує хибнопозитивні результати.</t>
        </is>
      </c>
    </row>
    <row r="20" ht="22" customHeight="1">
      <c r="A20" s="4" t="inlineStr">
        <is>
          <t>5. Розмір вибірки</t>
        </is>
      </c>
      <c r="B20" s="4" t="n"/>
    </row>
    <row r="21" ht="34" customHeight="1">
      <c r="A21" s="5" t="inlineStr">
        <is>
          <t>Розрахунок</t>
        </is>
      </c>
      <c r="B21" s="6" t="inlineStr">
        <is>
          <t>Базова конверсія клік→покупка у контролі 9.83%. Щоб помітити відносний ріст на 10% (α=0.05, потужність 80%), потрібно ≈15 тис. кліків на групу — див. лист «Розмір вибірки» (формула, параметри змінюються).</t>
        </is>
      </c>
    </row>
    <row r="22" ht="49" customHeight="1">
      <c r="A22" s="5" t="inlineStr">
        <is>
          <t>Наші дані</t>
        </is>
      </c>
      <c r="B22" s="6" t="inlineStr">
        <is>
          <t>Control (29 днів, без 5.08): 3177233 показів, 154303 кліків, 15161 покупок. Test (30 днів): 2237544 показів, 180970 кліків, 15637 покупок. Кліків приблизно в 10 разів більше за необхідний мінімум, тож вибірки достатньо для виявлення навіть невеликого ефекту.</t>
        </is>
      </c>
    </row>
    <row r="23" ht="22" customHeight="1">
      <c r="A23" s="4" t="inlineStr">
        <is>
          <t>6. Критерії успіху</t>
        </is>
      </c>
      <c r="B23" s="4" t="n"/>
    </row>
    <row r="24" ht="49" customHeight="1">
      <c r="A24" s="5" t="inlineStr">
        <is>
          <t>Статистичні методи</t>
        </is>
      </c>
      <c r="B24" s="6" t="inlineStr">
        <is>
          <t>Конверсії (пропорції): z-тест для двох пропорцій і довірчий інтервал різниці. Денні метрики: t-тест Велча + Манна-Уїтні. Основна метрика одна; решта пояснювальні, при багатьох порівняннях — поправка Бонферроні/Холма.</t>
        </is>
      </c>
    </row>
    <row r="25">
      <c r="A25" s="5" t="inlineStr">
        <is>
          <t>Тест успішний, якщо</t>
        </is>
      </c>
      <c r="B25" s="6" t="inlineStr">
        <is>
          <t>p &lt; 0.05 і конверсія клік→покупка (або CPA) у Test значимо краща, а guardrails не погіршились.</t>
        </is>
      </c>
    </row>
    <row r="26" ht="34" customHeight="1">
      <c r="A26" s="5" t="inlineStr">
        <is>
          <t>Практична значущість</t>
        </is>
      </c>
      <c r="B26" s="6" t="inlineStr">
        <is>
          <t>Навіть значима різниця має бути економічно виправданою: покращення має перекривати додаткові витрати. Якщо ефект статистично значимий, але дрібний або CPA гірший — не впроваджуємо.</t>
        </is>
      </c>
    </row>
    <row r="27">
      <c r="A27" s="5" t="inlineStr">
        <is>
          <t>Неоднозначний результат</t>
        </is>
      </c>
      <c r="B27" s="6" t="inlineStr">
        <is>
          <t>Якщо кроки воронки рухаються в різні боки — продовжуємо тест або повторюємо його після виправлень.</t>
        </is>
      </c>
    </row>
    <row r="28" ht="22" customHeight="1">
      <c r="A28" s="4" t="inlineStr">
        <is>
          <t>7. Ризики та обмеження</t>
        </is>
      </c>
      <c r="B28" s="4" t="n"/>
    </row>
    <row r="29" ht="34" customHeight="1">
      <c r="A29" s="5" t="inlineStr">
        <is>
          <t>Незіставність груп</t>
        </is>
      </c>
      <c r="B29" s="6" t="inlineStr">
        <is>
          <t>У даних витрати на день у тесті на 11% вищі, а покази на 32% і охват на 40% нижчі, ніж у контролі: розподіл не 50/50. Потрібна перевірка SRM (chi-square) і з'ясування причини.</t>
        </is>
      </c>
    </row>
    <row r="30" ht="34" customHeight="1">
      <c r="A30" s="5" t="inlineStr">
        <is>
          <t>Якість даних</t>
        </is>
      </c>
      <c r="B30" s="6" t="inlineStr">
        <is>
          <t>Пропуски в даних (5.08 у контролі: заповнено лише Spend, метрики воронки порожні) — щоденна перевірка повноти та правило, як виключати такі дні.</t>
        </is>
      </c>
    </row>
    <row r="31">
      <c r="A31" s="5" t="inlineStr">
        <is>
          <t>Ефект новизни</t>
        </is>
      </c>
      <c r="B31" s="6" t="inlineStr">
        <is>
          <t>Нова реклама може давати тимчасовий сплеск CTR лише через новизну; перші 2–3 дні інтерпретуємо обережно.</t>
        </is>
      </c>
    </row>
    <row r="32" ht="34" customHeight="1">
      <c r="A32" s="5" t="inlineStr">
        <is>
          <t>Сезонність і зовнішні фактори</t>
        </is>
      </c>
      <c r="B32" s="6" t="inlineStr">
        <is>
          <t>Один місяць (серпень) — результати можуть не перенестися на інші періоди; немає даних про конкуренцію й зміни на платформі.</t>
        </is>
      </c>
    </row>
    <row r="33" ht="34" customHeight="1">
      <c r="A33" s="5" t="inlineStr">
        <is>
          <t>Агреговані дані</t>
        </is>
      </c>
      <c r="B33" s="6" t="inlineStr">
        <is>
          <t>Денні агрегати не дають аналізу на рівні користувача й автокореляції днів — потрібен трекінг подій на рівні користувача (подій, атрибутів, груп).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8" customWidth="1" min="1" max="1"/>
    <col width="16" customWidth="1" min="2" max="2"/>
  </cols>
  <sheetData>
    <row r="1" ht="28" customHeight="1">
      <c r="A1" s="7" t="inlineStr">
        <is>
          <t>Розрахунок розміру вибірки (кліків на групу) для порівняння двох пропорцій</t>
        </is>
      </c>
      <c r="B1" s="2" t="n"/>
    </row>
    <row r="3">
      <c r="A3" s="3" t="inlineStr">
        <is>
          <t>Параметр</t>
        </is>
      </c>
      <c r="B3" s="3" t="inlineStr">
        <is>
          <t>Значення</t>
        </is>
      </c>
    </row>
    <row r="4">
      <c r="A4" s="6" t="inlineStr">
        <is>
          <t>Базова конверсія клік→покупка p1 (контроль)</t>
        </is>
      </c>
      <c r="B4" s="8" t="n">
        <v>0.09825473257162855</v>
      </c>
    </row>
    <row r="5">
      <c r="A5" s="6" t="inlineStr">
        <is>
          <t>MDE, відносний ефект</t>
        </is>
      </c>
      <c r="B5" s="9" t="n">
        <v>0.1</v>
      </c>
    </row>
    <row r="6">
      <c r="A6" s="6" t="inlineStr">
        <is>
          <t>p2 = p1·(1+MDE)</t>
        </is>
      </c>
      <c r="B6" s="8">
        <f>B4*(1+B5)</f>
        <v/>
      </c>
    </row>
    <row r="7">
      <c r="A7" s="6" t="inlineStr">
        <is>
          <t>p̄ = (p1 + p2) / 2  (середня очікувана конверсія двох груп)</t>
        </is>
      </c>
      <c r="B7" s="8">
        <f>(B4+B6)/2</f>
        <v/>
      </c>
    </row>
    <row r="8">
      <c r="A8" s="6" t="inlineStr">
        <is>
          <t>α (двосторонній)</t>
        </is>
      </c>
      <c r="B8" s="10" t="n">
        <v>0.05</v>
      </c>
    </row>
    <row r="9">
      <c r="A9" s="6" t="inlineStr">
        <is>
          <t>Потужність (1−β)</t>
        </is>
      </c>
      <c r="B9" s="9" t="n">
        <v>0.8</v>
      </c>
    </row>
    <row r="10">
      <c r="A10" s="6" t="inlineStr">
        <is>
          <t>z(α/2)</t>
        </is>
      </c>
      <c r="B10" s="11">
        <f>NORM.S.INV(1-B8/2)</f>
        <v/>
      </c>
    </row>
    <row r="11">
      <c r="A11" s="6" t="inlineStr">
        <is>
          <t>z(β)</t>
        </is>
      </c>
      <c r="B11" s="11">
        <f>NORM.S.INV(B9)</f>
        <v/>
      </c>
    </row>
    <row r="12" ht="34" customHeight="1">
      <c r="A12" s="12" t="inlineStr">
        <is>
          <t>n на групу = ( z(α/2)·√(2·p̄·(1−p̄)) + z(β)·√(p1·(1−p1) + p2·(1−p2)) )² / (p2 − p1)²</t>
        </is>
      </c>
      <c r="B12" s="13">
        <f>ROUNDUP((B10*SQRT(2*B7*(1-B7))+B11*SQRT(B4*(1-B4)+B6*(1-B6)))^2/(B6-B4)^2,0)</f>
        <v/>
      </c>
    </row>
    <row r="13">
      <c r="A13" s="6" t="inlineStr">
        <is>
          <t>Середньо кліків на день на групу (з даних)</t>
        </is>
      </c>
      <c r="B13" s="14" t="n">
        <v>5320.793103448276</v>
      </c>
    </row>
    <row r="14">
      <c r="A14" s="12" t="inlineStr">
        <is>
          <t>Днів для набору вибірки</t>
        </is>
      </c>
      <c r="B14" s="15">
        <f>ROUNDUP(B12/B13,0)</f>
        <v/>
      </c>
    </row>
    <row r="16">
      <c r="A16" s="16" t="inlineStr">
        <is>
          <t>Чутливість: скільки кліків на групу потрібно для різного MDE (ті ж α і потужність)</t>
        </is>
      </c>
    </row>
    <row r="17">
      <c r="A17" s="17" t="inlineStr">
        <is>
          <t>MDE 5%</t>
        </is>
      </c>
      <c r="B17" s="14">
        <f>ROUNDUP(($B$10*SQRT(2*(($B$4+($B$4*(1+0.05)))/2)*(1-(($B$4+($B$4*(1+0.05)))/2)))+$B$11*SQRT($B$4*(1-$B$4)+($B$4*(1+0.05))*(1-($B$4*(1+0.05)))))^2/(($B$4*(1+0.05))-$B$4)^2,0)</f>
        <v/>
      </c>
    </row>
    <row r="18">
      <c r="A18" s="17" t="inlineStr">
        <is>
          <t>MDE 10%</t>
        </is>
      </c>
      <c r="B18" s="14">
        <f>ROUNDUP(($B$10*SQRT(2*(($B$4+($B$4*(1+0.1)))/2)*(1-(($B$4+($B$4*(1+0.1)))/2)))+$B$11*SQRT($B$4*(1-$B$4)+($B$4*(1+0.1))*(1-($B$4*(1+0.1)))))^2/(($B$4*(1+0.1))-$B$4)^2,0)</f>
        <v/>
      </c>
    </row>
    <row r="19">
      <c r="A19" s="17" t="inlineStr">
        <is>
          <t>MDE 15%</t>
        </is>
      </c>
      <c r="B19" s="14">
        <f>ROUNDUP(($B$10*SQRT(2*(($B$4+($B$4*(1+0.15)))/2)*(1-(($B$4+($B$4*(1+0.15)))/2)))+$B$11*SQRT($B$4*(1-$B$4)+($B$4*(1+0.15))*(1-($B$4*(1+0.15)))))^2/(($B$4*(1+0.15))-$B$4)^2,0)</f>
        <v/>
      </c>
    </row>
    <row r="21">
      <c r="A21" s="18" t="inlineStr">
        <is>
          <t>Сині значення — вхідні параметри, їх можна змінювати; решта рахується формулами.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2026-10-16T17:28:36Z</dcterms:created>
  <dcterms:modified xmlns:dcterms="http://purl.org/dc/terms/" xmlns:xsi="http://www.w3.org/2001/XMLSchema-instance" xsi:type="dcterms:W3CDTF">2026-10-16T17:28:36Z</dcterms:modified>
</cp:coreProperties>
</file>