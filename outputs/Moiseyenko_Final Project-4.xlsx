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Висно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0.0%"/>
    <numFmt numFmtId="167" formatCode="+0.0;-0.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color rgb="00FFFFFF"/>
      <sz val="12"/>
    </font>
    <font>
      <b val="1"/>
      <color rgb="002F5597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386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0" fontId="4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0" fontId="5" fillId="0" borderId="0" pivotButton="0" quotePrefix="0" xfId="0"/>
    <xf numFmtId="167" fontId="0" fillId="4" borderId="1" applyAlignment="1" pivotButton="0" quotePrefix="0" xfId="0">
      <alignment vertical="center"/>
    </xf>
    <xf numFmtId="0" fontId="6" fillId="3" borderId="0" applyAlignment="1" pivotButton="0" quotePrefix="0" xfId="0">
      <alignment vertical="center" wrapText="1" inden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Воронка: у середньому за день (кліки → покупка)</a:t>
            </a:r>
          </a:p>
        </rich>
      </tx>
    </title>
    <plotArea>
      <barChart>
        <barDir val="bar"/>
        <grouping val="clustered"/>
        <ser>
          <idx val="0"/>
          <order val="0"/>
          <tx>
            <v>Control</v>
          </tx>
          <spPr>
            <a:ln xmlns:a="http://schemas.openxmlformats.org/drawingml/2006/main">
              <a:prstDash val="solid"/>
            </a:ln>
          </spPr>
          <cat>
            <numRef>
              <f>'Funnel'!$A$5:$A$9</f>
            </numRef>
          </cat>
          <val>
            <numRef>
              <f>'Funnel'!$D$5:$D$9</f>
            </numRef>
          </val>
        </ser>
        <ser>
          <idx val="1"/>
          <order val="1"/>
          <tx>
            <v>Test</v>
          </tx>
          <spPr>
            <a:ln xmlns:a="http://schemas.openxmlformats.org/drawingml/2006/main">
              <a:prstDash val="solid"/>
            </a:ln>
          </spPr>
          <cat>
            <numRef>
              <f>'Funnel'!$A$5:$A$9</f>
            </numRef>
          </cat>
          <val>
            <numRef>
              <f>'Funnel'!$E$5:$E$9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Конверсія між кроками воронки</a:t>
            </a:r>
          </a:p>
        </rich>
      </tx>
    </title>
    <plotArea>
      <barChart>
        <barDir val="col"/>
        <grouping val="clustered"/>
        <ser>
          <idx val="0"/>
          <order val="0"/>
          <tx>
            <v>Control</v>
          </tx>
          <spPr>
            <a:ln xmlns:a="http://schemas.openxmlformats.org/drawingml/2006/main">
              <a:prstDash val="solid"/>
            </a:ln>
          </spPr>
          <cat>
            <numRef>
              <f>'Funnel'!$A$19:$A$23</f>
            </numRef>
          </cat>
          <val>
            <numRef>
              <f>'Funnel'!$B$19:$B$23</f>
            </numRef>
          </val>
        </ser>
        <ser>
          <idx val="1"/>
          <order val="1"/>
          <tx>
            <v>Test</v>
          </tx>
          <spPr>
            <a:ln xmlns:a="http://schemas.openxmlformats.org/drawingml/2006/main">
              <a:prstDash val="solid"/>
            </a:ln>
          </spPr>
          <cat>
            <numRef>
              <f>'Funnel'!$A$19:$A$23</f>
            </numRef>
          </cat>
          <val>
            <numRef>
              <f>'Funnel'!$C$19:$C$23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1" customWidth="1" min="8" max="8"/>
    <col width="13" customWidth="1" min="9" max="9"/>
    <col width="12" customWidth="1" min="10" max="10"/>
    <col width="10" customWidth="1" min="11" max="11"/>
    <col width="22" customWidth="1" min="12" max="12"/>
  </cols>
  <sheetData>
    <row r="1">
      <c r="A1" s="1" t="inlineStr">
        <is>
          <t>Group</t>
        </is>
      </c>
      <c r="B1" s="1" t="inlineStr">
        <is>
          <t>Campaign</t>
        </is>
      </c>
      <c r="C1" s="1" t="inlineStr">
        <is>
          <t>Date</t>
        </is>
      </c>
      <c r="D1" s="1" t="inlineStr">
        <is>
          <t>Spend [USD]</t>
        </is>
      </c>
      <c r="E1" s="1" t="inlineStr">
        <is>
          <t>Impressions</t>
        </is>
      </c>
      <c r="F1" s="1" t="inlineStr">
        <is>
          <t>Reach</t>
        </is>
      </c>
      <c r="G1" s="1" t="inlineStr">
        <is>
          <t>Website Clicks</t>
        </is>
      </c>
      <c r="H1" s="1" t="inlineStr">
        <is>
          <t>Searches</t>
        </is>
      </c>
      <c r="I1" s="1" t="inlineStr">
        <is>
          <t>View Content</t>
        </is>
      </c>
      <c r="J1" s="1" t="inlineStr">
        <is>
          <t>Add to Cart</t>
        </is>
      </c>
      <c r="K1" s="1" t="inlineStr">
        <is>
          <t>Purchase</t>
        </is>
      </c>
      <c r="L1" s="1" t="inlineStr">
        <is>
          <t>Excluded (missing data)</t>
        </is>
      </c>
    </row>
    <row r="2">
      <c r="A2" t="inlineStr">
        <is>
          <t>Control</t>
        </is>
      </c>
      <c r="B2" t="inlineStr">
        <is>
          <t>Control Campaign</t>
        </is>
      </c>
      <c r="C2" s="2" t="n">
        <v>43678</v>
      </c>
      <c r="D2" t="n">
        <v>2280</v>
      </c>
      <c r="E2" t="n">
        <v>82702</v>
      </c>
      <c r="F2" t="n">
        <v>56930</v>
      </c>
      <c r="G2" t="n">
        <v>7016</v>
      </c>
      <c r="H2" t="n">
        <v>2290</v>
      </c>
      <c r="I2" t="n">
        <v>2159</v>
      </c>
      <c r="J2" t="n">
        <v>1819</v>
      </c>
      <c r="K2" t="n">
        <v>618</v>
      </c>
      <c r="L2" t="inlineStr"/>
    </row>
    <row r="3">
      <c r="A3" t="inlineStr">
        <is>
          <t>Control</t>
        </is>
      </c>
      <c r="B3" t="inlineStr">
        <is>
          <t>Control Campaign</t>
        </is>
      </c>
      <c r="C3" s="2" t="n">
        <v>43679</v>
      </c>
      <c r="D3" t="n">
        <v>1757</v>
      </c>
      <c r="E3" t="n">
        <v>121040</v>
      </c>
      <c r="F3" t="n">
        <v>102513</v>
      </c>
      <c r="G3" t="n">
        <v>8110</v>
      </c>
      <c r="H3" t="n">
        <v>2033</v>
      </c>
      <c r="I3" t="n">
        <v>1841</v>
      </c>
      <c r="J3" t="n">
        <v>1219</v>
      </c>
      <c r="K3" t="n">
        <v>511</v>
      </c>
      <c r="L3" t="inlineStr"/>
    </row>
    <row r="4">
      <c r="A4" t="inlineStr">
        <is>
          <t>Control</t>
        </is>
      </c>
      <c r="B4" t="inlineStr">
        <is>
          <t>Control Campaign</t>
        </is>
      </c>
      <c r="C4" s="2" t="n">
        <v>43680</v>
      </c>
      <c r="D4" t="n">
        <v>2343</v>
      </c>
      <c r="E4" t="n">
        <v>131711</v>
      </c>
      <c r="F4" t="n">
        <v>110862</v>
      </c>
      <c r="G4" t="n">
        <v>6508</v>
      </c>
      <c r="H4" t="n">
        <v>1737</v>
      </c>
      <c r="I4" t="n">
        <v>1549</v>
      </c>
      <c r="J4" t="n">
        <v>1134</v>
      </c>
      <c r="K4" t="n">
        <v>372</v>
      </c>
      <c r="L4" t="inlineStr"/>
    </row>
    <row r="5">
      <c r="A5" t="inlineStr">
        <is>
          <t>Control</t>
        </is>
      </c>
      <c r="B5" t="inlineStr">
        <is>
          <t>Control Campaign</t>
        </is>
      </c>
      <c r="C5" s="2" t="n">
        <v>43681</v>
      </c>
      <c r="D5" t="n">
        <v>1940</v>
      </c>
      <c r="E5" t="n">
        <v>72878</v>
      </c>
      <c r="F5" t="n">
        <v>61235</v>
      </c>
      <c r="G5" t="n">
        <v>3065</v>
      </c>
      <c r="H5" t="n">
        <v>1042</v>
      </c>
      <c r="I5" t="n">
        <v>982</v>
      </c>
      <c r="J5" t="n">
        <v>1183</v>
      </c>
      <c r="K5" t="n">
        <v>340</v>
      </c>
      <c r="L5" t="inlineStr"/>
    </row>
    <row r="6">
      <c r="A6" t="inlineStr">
        <is>
          <t>Control</t>
        </is>
      </c>
      <c r="B6" t="inlineStr">
        <is>
          <t>Control Campaign</t>
        </is>
      </c>
      <c r="C6" s="2" t="n">
        <v>43682</v>
      </c>
      <c r="D6" t="n">
        <v>1835</v>
      </c>
      <c r="L6" t="inlineStr">
        <is>
          <t>YES</t>
        </is>
      </c>
    </row>
    <row r="7">
      <c r="A7" t="inlineStr">
        <is>
          <t>Control</t>
        </is>
      </c>
      <c r="B7" t="inlineStr">
        <is>
          <t>Control Campaign</t>
        </is>
      </c>
      <c r="C7" s="2" t="n">
        <v>43683</v>
      </c>
      <c r="D7" t="n">
        <v>3083</v>
      </c>
      <c r="E7" t="n">
        <v>109076</v>
      </c>
      <c r="F7" t="n">
        <v>87998</v>
      </c>
      <c r="G7" t="n">
        <v>4028</v>
      </c>
      <c r="H7" t="n">
        <v>1709</v>
      </c>
      <c r="I7" t="n">
        <v>1249</v>
      </c>
      <c r="J7" t="n">
        <v>784</v>
      </c>
      <c r="K7" t="n">
        <v>764</v>
      </c>
      <c r="L7" t="inlineStr"/>
    </row>
    <row r="8">
      <c r="A8" t="inlineStr">
        <is>
          <t>Control</t>
        </is>
      </c>
      <c r="B8" t="inlineStr">
        <is>
          <t>Control Campaign</t>
        </is>
      </c>
      <c r="C8" s="2" t="n">
        <v>43684</v>
      </c>
      <c r="D8" t="n">
        <v>2544</v>
      </c>
      <c r="E8" t="n">
        <v>142123</v>
      </c>
      <c r="F8" t="n">
        <v>127852</v>
      </c>
      <c r="G8" t="n">
        <v>2640</v>
      </c>
      <c r="H8" t="n">
        <v>1388</v>
      </c>
      <c r="I8" t="n">
        <v>1106</v>
      </c>
      <c r="J8" t="n">
        <v>1166</v>
      </c>
      <c r="K8" t="n">
        <v>499</v>
      </c>
      <c r="L8" t="inlineStr"/>
    </row>
    <row r="9">
      <c r="A9" t="inlineStr">
        <is>
          <t>Control</t>
        </is>
      </c>
      <c r="B9" t="inlineStr">
        <is>
          <t>Control Campaign</t>
        </is>
      </c>
      <c r="C9" s="2" t="n">
        <v>43685</v>
      </c>
      <c r="D9" t="n">
        <v>1900</v>
      </c>
      <c r="E9" t="n">
        <v>90939</v>
      </c>
      <c r="F9" t="n">
        <v>65217</v>
      </c>
      <c r="G9" t="n">
        <v>7260</v>
      </c>
      <c r="H9" t="n">
        <v>3047</v>
      </c>
      <c r="I9" t="n">
        <v>2746</v>
      </c>
      <c r="J9" t="n">
        <v>930</v>
      </c>
      <c r="K9" t="n">
        <v>462</v>
      </c>
      <c r="L9" t="inlineStr"/>
    </row>
    <row r="10">
      <c r="A10" t="inlineStr">
        <is>
          <t>Control</t>
        </is>
      </c>
      <c r="B10" t="inlineStr">
        <is>
          <t>Control Campaign</t>
        </is>
      </c>
      <c r="C10" s="2" t="n">
        <v>43686</v>
      </c>
      <c r="D10" t="n">
        <v>2813</v>
      </c>
      <c r="E10" t="n">
        <v>121332</v>
      </c>
      <c r="F10" t="n">
        <v>94896</v>
      </c>
      <c r="G10" t="n">
        <v>6198</v>
      </c>
      <c r="H10" t="n">
        <v>2487</v>
      </c>
      <c r="I10" t="n">
        <v>2179</v>
      </c>
      <c r="J10" t="n">
        <v>645</v>
      </c>
      <c r="K10" t="n">
        <v>501</v>
      </c>
      <c r="L10" t="inlineStr"/>
    </row>
    <row r="11">
      <c r="A11" t="inlineStr">
        <is>
          <t>Control</t>
        </is>
      </c>
      <c r="B11" t="inlineStr">
        <is>
          <t>Control Campaign</t>
        </is>
      </c>
      <c r="C11" s="2" t="n">
        <v>43687</v>
      </c>
      <c r="D11" t="n">
        <v>2149</v>
      </c>
      <c r="E11" t="n">
        <v>117624</v>
      </c>
      <c r="F11" t="n">
        <v>91257</v>
      </c>
      <c r="G11" t="n">
        <v>2277</v>
      </c>
      <c r="H11" t="n">
        <v>2475</v>
      </c>
      <c r="I11" t="n">
        <v>1984</v>
      </c>
      <c r="J11" t="n">
        <v>1629</v>
      </c>
      <c r="K11" t="n">
        <v>734</v>
      </c>
      <c r="L11" t="inlineStr"/>
    </row>
    <row r="12">
      <c r="A12" t="inlineStr">
        <is>
          <t>Control</t>
        </is>
      </c>
      <c r="B12" t="inlineStr">
        <is>
          <t>Control Campaign</t>
        </is>
      </c>
      <c r="C12" s="2" t="n">
        <v>43688</v>
      </c>
      <c r="D12" t="n">
        <v>2490</v>
      </c>
      <c r="E12" t="n">
        <v>115247</v>
      </c>
      <c r="F12" t="n">
        <v>95843</v>
      </c>
      <c r="G12" t="n">
        <v>8137</v>
      </c>
      <c r="H12" t="n">
        <v>2941</v>
      </c>
      <c r="I12" t="n">
        <v>2486</v>
      </c>
      <c r="J12" t="n">
        <v>1887</v>
      </c>
      <c r="K12" t="n">
        <v>475</v>
      </c>
      <c r="L12" t="inlineStr"/>
    </row>
    <row r="13">
      <c r="A13" t="inlineStr">
        <is>
          <t>Control</t>
        </is>
      </c>
      <c r="B13" t="inlineStr">
        <is>
          <t>Control Campaign</t>
        </is>
      </c>
      <c r="C13" s="2" t="n">
        <v>43689</v>
      </c>
      <c r="D13" t="n">
        <v>2319</v>
      </c>
      <c r="E13" t="n">
        <v>116639</v>
      </c>
      <c r="F13" t="n">
        <v>100189</v>
      </c>
      <c r="G13" t="n">
        <v>2993</v>
      </c>
      <c r="H13" t="n">
        <v>1397</v>
      </c>
      <c r="I13" t="n">
        <v>1147</v>
      </c>
      <c r="J13" t="n">
        <v>1439</v>
      </c>
      <c r="K13" t="n">
        <v>794</v>
      </c>
      <c r="L13" t="inlineStr"/>
    </row>
    <row r="14">
      <c r="A14" t="inlineStr">
        <is>
          <t>Control</t>
        </is>
      </c>
      <c r="B14" t="inlineStr">
        <is>
          <t>Control Campaign</t>
        </is>
      </c>
      <c r="C14" s="2" t="n">
        <v>43690</v>
      </c>
      <c r="D14" t="n">
        <v>2697</v>
      </c>
      <c r="E14" t="n">
        <v>82847</v>
      </c>
      <c r="F14" t="n">
        <v>68214</v>
      </c>
      <c r="G14" t="n">
        <v>6554</v>
      </c>
      <c r="H14" t="n">
        <v>2390</v>
      </c>
      <c r="I14" t="n">
        <v>1975</v>
      </c>
      <c r="J14" t="n">
        <v>1794</v>
      </c>
      <c r="K14" t="n">
        <v>766</v>
      </c>
      <c r="L14" t="inlineStr"/>
    </row>
    <row r="15">
      <c r="A15" t="inlineStr">
        <is>
          <t>Control</t>
        </is>
      </c>
      <c r="B15" t="inlineStr">
        <is>
          <t>Control Campaign</t>
        </is>
      </c>
      <c r="C15" s="2" t="n">
        <v>43691</v>
      </c>
      <c r="D15" t="n">
        <v>1875</v>
      </c>
      <c r="E15" t="n">
        <v>145248</v>
      </c>
      <c r="F15" t="n">
        <v>118632</v>
      </c>
      <c r="G15" t="n">
        <v>4521</v>
      </c>
      <c r="H15" t="n">
        <v>1209</v>
      </c>
      <c r="I15" t="n">
        <v>1149</v>
      </c>
      <c r="J15" t="n">
        <v>1339</v>
      </c>
      <c r="K15" t="n">
        <v>788</v>
      </c>
      <c r="L15" t="inlineStr"/>
    </row>
    <row r="16">
      <c r="A16" t="inlineStr">
        <is>
          <t>Control</t>
        </is>
      </c>
      <c r="B16" t="inlineStr">
        <is>
          <t>Control Campaign</t>
        </is>
      </c>
      <c r="C16" s="2" t="n">
        <v>43692</v>
      </c>
      <c r="D16" t="n">
        <v>2774</v>
      </c>
      <c r="E16" t="n">
        <v>132845</v>
      </c>
      <c r="F16" t="n">
        <v>102479</v>
      </c>
      <c r="G16" t="n">
        <v>4896</v>
      </c>
      <c r="H16" t="n">
        <v>1179</v>
      </c>
      <c r="I16" t="n">
        <v>1005</v>
      </c>
      <c r="J16" t="n">
        <v>1641</v>
      </c>
      <c r="K16" t="n">
        <v>366</v>
      </c>
      <c r="L16" t="inlineStr"/>
    </row>
    <row r="17">
      <c r="A17" t="inlineStr">
        <is>
          <t>Control</t>
        </is>
      </c>
      <c r="B17" t="inlineStr">
        <is>
          <t>Control Campaign</t>
        </is>
      </c>
      <c r="C17" s="2" t="n">
        <v>43693</v>
      </c>
      <c r="D17" t="n">
        <v>2024</v>
      </c>
      <c r="E17" t="n">
        <v>71274</v>
      </c>
      <c r="F17" t="n">
        <v>42859</v>
      </c>
      <c r="G17" t="n">
        <v>5224</v>
      </c>
      <c r="H17" t="n">
        <v>2427</v>
      </c>
      <c r="I17" t="n">
        <v>2158</v>
      </c>
      <c r="J17" t="n">
        <v>1613</v>
      </c>
      <c r="K17" t="n">
        <v>438</v>
      </c>
      <c r="L17" t="inlineStr"/>
    </row>
    <row r="18">
      <c r="A18" t="inlineStr">
        <is>
          <t>Control</t>
        </is>
      </c>
      <c r="B18" t="inlineStr">
        <is>
          <t>Control Campaign</t>
        </is>
      </c>
      <c r="C18" s="2" t="n">
        <v>43694</v>
      </c>
      <c r="D18" t="n">
        <v>2177</v>
      </c>
      <c r="E18" t="n">
        <v>119612</v>
      </c>
      <c r="F18" t="n">
        <v>106518</v>
      </c>
      <c r="G18" t="n">
        <v>6628</v>
      </c>
      <c r="H18" t="n">
        <v>1756</v>
      </c>
      <c r="I18" t="n">
        <v>1642</v>
      </c>
      <c r="J18" t="n">
        <v>878</v>
      </c>
      <c r="K18" t="n">
        <v>222</v>
      </c>
      <c r="L18" t="inlineStr"/>
    </row>
    <row r="19">
      <c r="A19" t="inlineStr">
        <is>
          <t>Control</t>
        </is>
      </c>
      <c r="B19" t="inlineStr">
        <is>
          <t>Control Campaign</t>
        </is>
      </c>
      <c r="C19" s="2" t="n">
        <v>43695</v>
      </c>
      <c r="D19" t="n">
        <v>1876</v>
      </c>
      <c r="E19" t="n">
        <v>108452</v>
      </c>
      <c r="F19" t="n">
        <v>96518</v>
      </c>
      <c r="G19" t="n">
        <v>7253</v>
      </c>
      <c r="H19" t="n">
        <v>2447</v>
      </c>
      <c r="I19" t="n">
        <v>2115</v>
      </c>
      <c r="J19" t="n">
        <v>1695</v>
      </c>
      <c r="K19" t="n">
        <v>243</v>
      </c>
      <c r="L19" t="inlineStr"/>
    </row>
    <row r="20">
      <c r="A20" t="inlineStr">
        <is>
          <t>Control</t>
        </is>
      </c>
      <c r="B20" t="inlineStr">
        <is>
          <t>Control Campaign</t>
        </is>
      </c>
      <c r="C20" s="2" t="n">
        <v>43696</v>
      </c>
      <c r="D20" t="n">
        <v>2596</v>
      </c>
      <c r="E20" t="n">
        <v>107890</v>
      </c>
      <c r="F20" t="n">
        <v>81268</v>
      </c>
      <c r="G20" t="n">
        <v>3706</v>
      </c>
      <c r="H20" t="n">
        <v>2483</v>
      </c>
      <c r="I20" t="n">
        <v>2098</v>
      </c>
      <c r="J20" t="n">
        <v>908</v>
      </c>
      <c r="K20" t="n">
        <v>542</v>
      </c>
      <c r="L20" t="inlineStr"/>
    </row>
    <row r="21">
      <c r="A21" t="inlineStr">
        <is>
          <t>Control</t>
        </is>
      </c>
      <c r="B21" t="inlineStr">
        <is>
          <t>Control Campaign</t>
        </is>
      </c>
      <c r="C21" s="2" t="n">
        <v>43697</v>
      </c>
      <c r="D21" t="n">
        <v>2675</v>
      </c>
      <c r="E21" t="n">
        <v>113430</v>
      </c>
      <c r="F21" t="n">
        <v>78625</v>
      </c>
      <c r="G21" t="n">
        <v>2578</v>
      </c>
      <c r="H21" t="n">
        <v>1001</v>
      </c>
      <c r="I21" t="n">
        <v>848</v>
      </c>
      <c r="J21" t="n">
        <v>1709</v>
      </c>
      <c r="K21" t="n">
        <v>299</v>
      </c>
      <c r="L21" t="inlineStr"/>
    </row>
    <row r="22">
      <c r="A22" t="inlineStr">
        <is>
          <t>Control</t>
        </is>
      </c>
      <c r="B22" t="inlineStr">
        <is>
          <t>Control Campaign</t>
        </is>
      </c>
      <c r="C22" s="2" t="n">
        <v>43698</v>
      </c>
      <c r="D22" t="n">
        <v>1803</v>
      </c>
      <c r="E22" t="n">
        <v>74654</v>
      </c>
      <c r="F22" t="n">
        <v>59873</v>
      </c>
      <c r="G22" t="n">
        <v>5691</v>
      </c>
      <c r="H22" t="n">
        <v>2711</v>
      </c>
      <c r="I22" t="n">
        <v>2496</v>
      </c>
      <c r="J22" t="n">
        <v>1460</v>
      </c>
      <c r="K22" t="n">
        <v>800</v>
      </c>
      <c r="L22" t="inlineStr"/>
    </row>
    <row r="23">
      <c r="A23" t="inlineStr">
        <is>
          <t>Control</t>
        </is>
      </c>
      <c r="B23" t="inlineStr">
        <is>
          <t>Control Campaign</t>
        </is>
      </c>
      <c r="C23" s="2" t="n">
        <v>43699</v>
      </c>
      <c r="D23" t="n">
        <v>2939</v>
      </c>
      <c r="E23" t="n">
        <v>105705</v>
      </c>
      <c r="F23" t="n">
        <v>86218</v>
      </c>
      <c r="G23" t="n">
        <v>6843</v>
      </c>
      <c r="H23" t="n">
        <v>3102</v>
      </c>
      <c r="I23" t="n">
        <v>2988</v>
      </c>
      <c r="J23" t="n">
        <v>819</v>
      </c>
      <c r="K23" t="n">
        <v>387</v>
      </c>
      <c r="L23" t="inlineStr"/>
    </row>
    <row r="24">
      <c r="A24" t="inlineStr">
        <is>
          <t>Control</t>
        </is>
      </c>
      <c r="B24" t="inlineStr">
        <is>
          <t>Control Campaign</t>
        </is>
      </c>
      <c r="C24" s="2" t="n">
        <v>43700</v>
      </c>
      <c r="D24" t="n">
        <v>2496</v>
      </c>
      <c r="E24" t="n">
        <v>129880</v>
      </c>
      <c r="F24" t="n">
        <v>109413</v>
      </c>
      <c r="G24" t="n">
        <v>4410</v>
      </c>
      <c r="H24" t="n">
        <v>2896</v>
      </c>
      <c r="I24" t="n">
        <v>2496</v>
      </c>
      <c r="J24" t="n">
        <v>1913</v>
      </c>
      <c r="K24" t="n">
        <v>766</v>
      </c>
      <c r="L24" t="inlineStr"/>
    </row>
    <row r="25">
      <c r="A25" t="inlineStr">
        <is>
          <t>Control</t>
        </is>
      </c>
      <c r="B25" t="inlineStr">
        <is>
          <t>Control Campaign</t>
        </is>
      </c>
      <c r="C25" s="2" t="n">
        <v>43701</v>
      </c>
      <c r="D25" t="n">
        <v>1892</v>
      </c>
      <c r="E25" t="n">
        <v>72515</v>
      </c>
      <c r="F25" t="n">
        <v>51987</v>
      </c>
      <c r="G25" t="n">
        <v>4085</v>
      </c>
      <c r="H25" t="n">
        <v>1274</v>
      </c>
      <c r="I25" t="n">
        <v>1149</v>
      </c>
      <c r="J25" t="n">
        <v>1146</v>
      </c>
      <c r="K25" t="n">
        <v>585</v>
      </c>
      <c r="L25" t="inlineStr"/>
    </row>
    <row r="26">
      <c r="A26" t="inlineStr">
        <is>
          <t>Control</t>
        </is>
      </c>
      <c r="B26" t="inlineStr">
        <is>
          <t>Control Campaign</t>
        </is>
      </c>
      <c r="C26" s="2" t="n">
        <v>43702</v>
      </c>
      <c r="D26" t="n">
        <v>1962</v>
      </c>
      <c r="E26" t="n">
        <v>117006</v>
      </c>
      <c r="F26" t="n">
        <v>100398</v>
      </c>
      <c r="G26" t="n">
        <v>4234</v>
      </c>
      <c r="H26" t="n">
        <v>2423</v>
      </c>
      <c r="I26" t="n">
        <v>2096</v>
      </c>
      <c r="J26" t="n">
        <v>883</v>
      </c>
      <c r="K26" t="n">
        <v>386</v>
      </c>
      <c r="L26" t="inlineStr"/>
    </row>
    <row r="27">
      <c r="A27" t="inlineStr">
        <is>
          <t>Control</t>
        </is>
      </c>
      <c r="B27" t="inlineStr">
        <is>
          <t>Control Campaign</t>
        </is>
      </c>
      <c r="C27" s="2" t="n">
        <v>43703</v>
      </c>
      <c r="D27" t="n">
        <v>2233</v>
      </c>
      <c r="E27" t="n">
        <v>124897</v>
      </c>
      <c r="F27" t="n">
        <v>98432</v>
      </c>
      <c r="G27" t="n">
        <v>5435</v>
      </c>
      <c r="H27" t="n">
        <v>2847</v>
      </c>
      <c r="I27" t="n">
        <v>2421</v>
      </c>
      <c r="J27" t="n">
        <v>1448</v>
      </c>
      <c r="K27" t="n">
        <v>251</v>
      </c>
      <c r="L27" t="inlineStr"/>
    </row>
    <row r="28">
      <c r="A28" t="inlineStr">
        <is>
          <t>Control</t>
        </is>
      </c>
      <c r="B28" t="inlineStr">
        <is>
          <t>Control Campaign</t>
        </is>
      </c>
      <c r="C28" s="2" t="n">
        <v>43704</v>
      </c>
      <c r="D28" t="n">
        <v>2061</v>
      </c>
      <c r="E28" t="n">
        <v>104678</v>
      </c>
      <c r="F28" t="n">
        <v>91579</v>
      </c>
      <c r="G28" t="n">
        <v>4941</v>
      </c>
      <c r="H28" t="n">
        <v>3549</v>
      </c>
      <c r="I28" t="n">
        <v>3249</v>
      </c>
      <c r="J28" t="n">
        <v>980</v>
      </c>
      <c r="K28" t="n">
        <v>605</v>
      </c>
      <c r="L28" t="inlineStr"/>
    </row>
    <row r="29">
      <c r="A29" t="inlineStr">
        <is>
          <t>Control</t>
        </is>
      </c>
      <c r="B29" t="inlineStr">
        <is>
          <t>Control Campaign</t>
        </is>
      </c>
      <c r="C29" s="2" t="n">
        <v>43705</v>
      </c>
      <c r="D29" t="n">
        <v>2421</v>
      </c>
      <c r="E29" t="n">
        <v>141654</v>
      </c>
      <c r="F29" t="n">
        <v>125874</v>
      </c>
      <c r="G29" t="n">
        <v>6287</v>
      </c>
      <c r="H29" t="n">
        <v>1672</v>
      </c>
      <c r="I29" t="n">
        <v>1589</v>
      </c>
      <c r="J29" t="n">
        <v>1711</v>
      </c>
      <c r="K29" t="n">
        <v>643</v>
      </c>
      <c r="L29" t="inlineStr"/>
    </row>
    <row r="30">
      <c r="A30" t="inlineStr">
        <is>
          <t>Control</t>
        </is>
      </c>
      <c r="B30" t="inlineStr">
        <is>
          <t>Control Campaign</t>
        </is>
      </c>
      <c r="C30" s="2" t="n">
        <v>43706</v>
      </c>
      <c r="D30" t="n">
        <v>2375</v>
      </c>
      <c r="E30" t="n">
        <v>92029</v>
      </c>
      <c r="F30" t="n">
        <v>74192</v>
      </c>
      <c r="G30" t="n">
        <v>8127</v>
      </c>
      <c r="H30" t="n">
        <v>4891</v>
      </c>
      <c r="I30" t="n">
        <v>4219</v>
      </c>
      <c r="J30" t="n">
        <v>1486</v>
      </c>
      <c r="K30" t="n">
        <v>334</v>
      </c>
      <c r="L30" t="inlineStr"/>
    </row>
    <row r="31">
      <c r="A31" t="inlineStr">
        <is>
          <t>Control</t>
        </is>
      </c>
      <c r="B31" t="inlineStr">
        <is>
          <t>Control Campaign</t>
        </is>
      </c>
      <c r="C31" s="2" t="n">
        <v>43707</v>
      </c>
      <c r="D31" t="n">
        <v>2324</v>
      </c>
      <c r="E31" t="n">
        <v>111306</v>
      </c>
      <c r="F31" t="n">
        <v>88632</v>
      </c>
      <c r="G31" t="n">
        <v>4658</v>
      </c>
      <c r="H31" t="n">
        <v>1615</v>
      </c>
      <c r="I31" t="n">
        <v>1249</v>
      </c>
      <c r="J31" t="n">
        <v>442</v>
      </c>
      <c r="K31" t="n">
        <v>670</v>
      </c>
      <c r="L31" t="inlineStr"/>
    </row>
    <row r="32">
      <c r="A32" t="inlineStr">
        <is>
          <t>Test</t>
        </is>
      </c>
      <c r="B32" t="inlineStr">
        <is>
          <t>Test Campaign</t>
        </is>
      </c>
      <c r="C32" s="2" t="n">
        <v>43678</v>
      </c>
      <c r="D32" t="n">
        <v>3008</v>
      </c>
      <c r="E32" t="n">
        <v>39550</v>
      </c>
      <c r="F32" t="n">
        <v>35820</v>
      </c>
      <c r="G32" t="n">
        <v>3038</v>
      </c>
      <c r="H32" t="n">
        <v>1946</v>
      </c>
      <c r="I32" t="n">
        <v>1069</v>
      </c>
      <c r="J32" t="n">
        <v>894</v>
      </c>
      <c r="K32" t="n">
        <v>255</v>
      </c>
      <c r="L32" t="inlineStr"/>
    </row>
    <row r="33">
      <c r="A33" t="inlineStr">
        <is>
          <t>Test</t>
        </is>
      </c>
      <c r="B33" t="inlineStr">
        <is>
          <t>Test Campaign</t>
        </is>
      </c>
      <c r="C33" s="2" t="n">
        <v>43679</v>
      </c>
      <c r="D33" t="n">
        <v>2542</v>
      </c>
      <c r="E33" t="n">
        <v>100719</v>
      </c>
      <c r="F33" t="n">
        <v>91236</v>
      </c>
      <c r="G33" t="n">
        <v>4657</v>
      </c>
      <c r="H33" t="n">
        <v>2359</v>
      </c>
      <c r="I33" t="n">
        <v>1548</v>
      </c>
      <c r="J33" t="n">
        <v>879</v>
      </c>
      <c r="K33" t="n">
        <v>677</v>
      </c>
      <c r="L33" t="inlineStr"/>
    </row>
    <row r="34">
      <c r="A34" t="inlineStr">
        <is>
          <t>Test</t>
        </is>
      </c>
      <c r="B34" t="inlineStr">
        <is>
          <t>Test Campaign</t>
        </is>
      </c>
      <c r="C34" s="2" t="n">
        <v>43680</v>
      </c>
      <c r="D34" t="n">
        <v>2365</v>
      </c>
      <c r="E34" t="n">
        <v>70263</v>
      </c>
      <c r="F34" t="n">
        <v>45198</v>
      </c>
      <c r="G34" t="n">
        <v>7885</v>
      </c>
      <c r="H34" t="n">
        <v>2572</v>
      </c>
      <c r="I34" t="n">
        <v>2367</v>
      </c>
      <c r="J34" t="n">
        <v>1268</v>
      </c>
      <c r="K34" t="n">
        <v>578</v>
      </c>
      <c r="L34" t="inlineStr"/>
    </row>
    <row r="35">
      <c r="A35" t="inlineStr">
        <is>
          <t>Test</t>
        </is>
      </c>
      <c r="B35" t="inlineStr">
        <is>
          <t>Test Campaign</t>
        </is>
      </c>
      <c r="C35" s="2" t="n">
        <v>43681</v>
      </c>
      <c r="D35" t="n">
        <v>2710</v>
      </c>
      <c r="E35" t="n">
        <v>78451</v>
      </c>
      <c r="F35" t="n">
        <v>25937</v>
      </c>
      <c r="G35" t="n">
        <v>4216</v>
      </c>
      <c r="H35" t="n">
        <v>2216</v>
      </c>
      <c r="I35" t="n">
        <v>1437</v>
      </c>
      <c r="J35" t="n">
        <v>566</v>
      </c>
      <c r="K35" t="n">
        <v>340</v>
      </c>
      <c r="L35" t="inlineStr"/>
    </row>
    <row r="36">
      <c r="A36" t="inlineStr">
        <is>
          <t>Test</t>
        </is>
      </c>
      <c r="B36" t="inlineStr">
        <is>
          <t>Test Campaign</t>
        </is>
      </c>
      <c r="C36" s="2" t="n">
        <v>43682</v>
      </c>
      <c r="D36" t="n">
        <v>2297</v>
      </c>
      <c r="E36" t="n">
        <v>114295</v>
      </c>
      <c r="F36" t="n">
        <v>95138</v>
      </c>
      <c r="G36" t="n">
        <v>5863</v>
      </c>
      <c r="H36" t="n">
        <v>2106</v>
      </c>
      <c r="I36" t="n">
        <v>858</v>
      </c>
      <c r="J36" t="n">
        <v>956</v>
      </c>
      <c r="K36" t="n">
        <v>768</v>
      </c>
      <c r="L36" t="inlineStr"/>
    </row>
    <row r="37">
      <c r="A37" t="inlineStr">
        <is>
          <t>Test</t>
        </is>
      </c>
      <c r="B37" t="inlineStr">
        <is>
          <t>Test Campaign</t>
        </is>
      </c>
      <c r="C37" s="2" t="n">
        <v>43683</v>
      </c>
      <c r="D37" t="n">
        <v>2458</v>
      </c>
      <c r="E37" t="n">
        <v>42684</v>
      </c>
      <c r="F37" t="n">
        <v>31489</v>
      </c>
      <c r="G37" t="n">
        <v>7488</v>
      </c>
      <c r="H37" t="n">
        <v>1854</v>
      </c>
      <c r="I37" t="n">
        <v>1073</v>
      </c>
      <c r="J37" t="n">
        <v>882</v>
      </c>
      <c r="K37" t="n">
        <v>488</v>
      </c>
      <c r="L37" t="inlineStr"/>
    </row>
    <row r="38">
      <c r="A38" t="inlineStr">
        <is>
          <t>Test</t>
        </is>
      </c>
      <c r="B38" t="inlineStr">
        <is>
          <t>Test Campaign</t>
        </is>
      </c>
      <c r="C38" s="2" t="n">
        <v>43684</v>
      </c>
      <c r="D38" t="n">
        <v>2838</v>
      </c>
      <c r="E38" t="n">
        <v>53986</v>
      </c>
      <c r="F38" t="n">
        <v>42148</v>
      </c>
      <c r="G38" t="n">
        <v>4221</v>
      </c>
      <c r="H38" t="n">
        <v>2733</v>
      </c>
      <c r="I38" t="n">
        <v>2182</v>
      </c>
      <c r="J38" t="n">
        <v>1301</v>
      </c>
      <c r="K38" t="n">
        <v>890</v>
      </c>
      <c r="L38" t="inlineStr"/>
    </row>
    <row r="39">
      <c r="A39" t="inlineStr">
        <is>
          <t>Test</t>
        </is>
      </c>
      <c r="B39" t="inlineStr">
        <is>
          <t>Test Campaign</t>
        </is>
      </c>
      <c r="C39" s="2" t="n">
        <v>43685</v>
      </c>
      <c r="D39" t="n">
        <v>2916</v>
      </c>
      <c r="E39" t="n">
        <v>33669</v>
      </c>
      <c r="F39" t="n">
        <v>20149</v>
      </c>
      <c r="G39" t="n">
        <v>7184</v>
      </c>
      <c r="H39" t="n">
        <v>2867</v>
      </c>
      <c r="I39" t="n">
        <v>2194</v>
      </c>
      <c r="J39" t="n">
        <v>1240</v>
      </c>
      <c r="K39" t="n">
        <v>431</v>
      </c>
      <c r="L39" t="inlineStr"/>
    </row>
    <row r="40">
      <c r="A40" t="inlineStr">
        <is>
          <t>Test</t>
        </is>
      </c>
      <c r="B40" t="inlineStr">
        <is>
          <t>Test Campaign</t>
        </is>
      </c>
      <c r="C40" s="2" t="n">
        <v>43686</v>
      </c>
      <c r="D40" t="n">
        <v>2652</v>
      </c>
      <c r="E40" t="n">
        <v>45511</v>
      </c>
      <c r="F40" t="n">
        <v>31598</v>
      </c>
      <c r="G40" t="n">
        <v>8259</v>
      </c>
      <c r="H40" t="n">
        <v>2899</v>
      </c>
      <c r="I40" t="n">
        <v>2761</v>
      </c>
      <c r="J40" t="n">
        <v>1200</v>
      </c>
      <c r="K40" t="n">
        <v>845</v>
      </c>
      <c r="L40" t="inlineStr"/>
    </row>
    <row r="41">
      <c r="A41" t="inlineStr">
        <is>
          <t>Test</t>
        </is>
      </c>
      <c r="B41" t="inlineStr">
        <is>
          <t>Test Campaign</t>
        </is>
      </c>
      <c r="C41" s="2" t="n">
        <v>43687</v>
      </c>
      <c r="D41" t="n">
        <v>2790</v>
      </c>
      <c r="E41" t="n">
        <v>95054</v>
      </c>
      <c r="F41" t="n">
        <v>79632</v>
      </c>
      <c r="G41" t="n">
        <v>8125</v>
      </c>
      <c r="H41" t="n">
        <v>2312</v>
      </c>
      <c r="I41" t="n">
        <v>1804</v>
      </c>
      <c r="J41" t="n">
        <v>424</v>
      </c>
      <c r="K41" t="n">
        <v>275</v>
      </c>
      <c r="L41" t="inlineStr"/>
    </row>
    <row r="42">
      <c r="A42" t="inlineStr">
        <is>
          <t>Test</t>
        </is>
      </c>
      <c r="B42" t="inlineStr">
        <is>
          <t>Test Campaign</t>
        </is>
      </c>
      <c r="C42" s="2" t="n">
        <v>43688</v>
      </c>
      <c r="D42" t="n">
        <v>2420</v>
      </c>
      <c r="E42" t="n">
        <v>83633</v>
      </c>
      <c r="F42" t="n">
        <v>71286</v>
      </c>
      <c r="G42" t="n">
        <v>3750</v>
      </c>
      <c r="H42" t="n">
        <v>2893</v>
      </c>
      <c r="I42" t="n">
        <v>2617</v>
      </c>
      <c r="J42" t="n">
        <v>1075</v>
      </c>
      <c r="K42" t="n">
        <v>668</v>
      </c>
      <c r="L42" t="inlineStr"/>
    </row>
    <row r="43">
      <c r="A43" t="inlineStr">
        <is>
          <t>Test</t>
        </is>
      </c>
      <c r="B43" t="inlineStr">
        <is>
          <t>Test Campaign</t>
        </is>
      </c>
      <c r="C43" s="2" t="n">
        <v>43689</v>
      </c>
      <c r="D43" t="n">
        <v>2831</v>
      </c>
      <c r="E43" t="n">
        <v>124591</v>
      </c>
      <c r="F43" t="n">
        <v>10598</v>
      </c>
      <c r="G43" t="n">
        <v>8264</v>
      </c>
      <c r="H43" t="n">
        <v>2081</v>
      </c>
      <c r="I43" t="n">
        <v>1992</v>
      </c>
      <c r="J43" t="n">
        <v>1382</v>
      </c>
      <c r="K43" t="n">
        <v>709</v>
      </c>
      <c r="L43" t="inlineStr"/>
    </row>
    <row r="44">
      <c r="A44" t="inlineStr">
        <is>
          <t>Test</t>
        </is>
      </c>
      <c r="B44" t="inlineStr">
        <is>
          <t>Test Campaign</t>
        </is>
      </c>
      <c r="C44" s="2" t="n">
        <v>43690</v>
      </c>
      <c r="D44" t="n">
        <v>1972</v>
      </c>
      <c r="E44" t="n">
        <v>65827</v>
      </c>
      <c r="F44" t="n">
        <v>49531</v>
      </c>
      <c r="G44" t="n">
        <v>7568</v>
      </c>
      <c r="H44" t="n">
        <v>2213</v>
      </c>
      <c r="I44" t="n">
        <v>2058</v>
      </c>
      <c r="J44" t="n">
        <v>1391</v>
      </c>
      <c r="K44" t="n">
        <v>812</v>
      </c>
      <c r="L44" t="inlineStr"/>
    </row>
    <row r="45">
      <c r="A45" t="inlineStr">
        <is>
          <t>Test</t>
        </is>
      </c>
      <c r="B45" t="inlineStr">
        <is>
          <t>Test Campaign</t>
        </is>
      </c>
      <c r="C45" s="2" t="n">
        <v>43691</v>
      </c>
      <c r="D45" t="n">
        <v>2537</v>
      </c>
      <c r="E45" t="n">
        <v>56304</v>
      </c>
      <c r="F45" t="n">
        <v>25982</v>
      </c>
      <c r="G45" t="n">
        <v>3993</v>
      </c>
      <c r="H45" t="n">
        <v>1979</v>
      </c>
      <c r="I45" t="n">
        <v>1059</v>
      </c>
      <c r="J45" t="n">
        <v>779</v>
      </c>
      <c r="K45" t="n">
        <v>340</v>
      </c>
      <c r="L45" t="inlineStr"/>
    </row>
    <row r="46">
      <c r="A46" t="inlineStr">
        <is>
          <t>Test</t>
        </is>
      </c>
      <c r="B46" t="inlineStr">
        <is>
          <t>Test Campaign</t>
        </is>
      </c>
      <c r="C46" s="2" t="n">
        <v>43692</v>
      </c>
      <c r="D46" t="n">
        <v>2516</v>
      </c>
      <c r="E46" t="n">
        <v>94338</v>
      </c>
      <c r="F46" t="n">
        <v>76219</v>
      </c>
      <c r="G46" t="n">
        <v>4993</v>
      </c>
      <c r="H46" t="n">
        <v>2537</v>
      </c>
      <c r="I46" t="n">
        <v>1609</v>
      </c>
      <c r="J46" t="n">
        <v>1090</v>
      </c>
      <c r="K46" t="n">
        <v>398</v>
      </c>
      <c r="L46" t="inlineStr"/>
    </row>
    <row r="47">
      <c r="A47" t="inlineStr">
        <is>
          <t>Test</t>
        </is>
      </c>
      <c r="B47" t="inlineStr">
        <is>
          <t>Test Campaign</t>
        </is>
      </c>
      <c r="C47" s="2" t="n">
        <v>43693</v>
      </c>
      <c r="D47" t="n">
        <v>3076</v>
      </c>
      <c r="E47" t="n">
        <v>106584</v>
      </c>
      <c r="F47" t="n">
        <v>81389</v>
      </c>
      <c r="G47" t="n">
        <v>6800</v>
      </c>
      <c r="H47" t="n">
        <v>2661</v>
      </c>
      <c r="I47" t="n">
        <v>2594</v>
      </c>
      <c r="J47" t="n">
        <v>1059</v>
      </c>
      <c r="K47" t="n">
        <v>487</v>
      </c>
      <c r="L47" t="inlineStr"/>
    </row>
    <row r="48">
      <c r="A48" t="inlineStr">
        <is>
          <t>Test</t>
        </is>
      </c>
      <c r="B48" t="inlineStr">
        <is>
          <t>Test Campaign</t>
        </is>
      </c>
      <c r="C48" s="2" t="n">
        <v>43694</v>
      </c>
      <c r="D48" t="n">
        <v>1968</v>
      </c>
      <c r="E48" t="n">
        <v>95843</v>
      </c>
      <c r="F48" t="n">
        <v>54389</v>
      </c>
      <c r="G48" t="n">
        <v>7910</v>
      </c>
      <c r="H48" t="n">
        <v>1995</v>
      </c>
      <c r="I48" t="n">
        <v>1576</v>
      </c>
      <c r="J48" t="n">
        <v>383</v>
      </c>
      <c r="K48" t="n">
        <v>238</v>
      </c>
      <c r="L48" t="inlineStr"/>
    </row>
    <row r="49">
      <c r="A49" t="inlineStr">
        <is>
          <t>Test</t>
        </is>
      </c>
      <c r="B49" t="inlineStr">
        <is>
          <t>Test Campaign</t>
        </is>
      </c>
      <c r="C49" s="2" t="n">
        <v>43695</v>
      </c>
      <c r="D49" t="n">
        <v>1979</v>
      </c>
      <c r="E49" t="n">
        <v>53632</v>
      </c>
      <c r="F49" t="n">
        <v>43241</v>
      </c>
      <c r="G49" t="n">
        <v>6909</v>
      </c>
      <c r="H49" t="n">
        <v>2824</v>
      </c>
      <c r="I49" t="n">
        <v>2522</v>
      </c>
      <c r="J49" t="n">
        <v>461</v>
      </c>
      <c r="K49" t="n">
        <v>257</v>
      </c>
      <c r="L49" t="inlineStr"/>
    </row>
    <row r="50">
      <c r="A50" t="inlineStr">
        <is>
          <t>Test</t>
        </is>
      </c>
      <c r="B50" t="inlineStr">
        <is>
          <t>Test Campaign</t>
        </is>
      </c>
      <c r="C50" s="2" t="n">
        <v>43696</v>
      </c>
      <c r="D50" t="n">
        <v>2626</v>
      </c>
      <c r="E50" t="n">
        <v>22521</v>
      </c>
      <c r="F50" t="n">
        <v>10698</v>
      </c>
      <c r="G50" t="n">
        <v>7617</v>
      </c>
      <c r="H50" t="n">
        <v>2924</v>
      </c>
      <c r="I50" t="n">
        <v>2801</v>
      </c>
      <c r="J50" t="n">
        <v>788</v>
      </c>
      <c r="K50" t="n">
        <v>512</v>
      </c>
      <c r="L50" t="inlineStr"/>
    </row>
    <row r="51">
      <c r="A51" t="inlineStr">
        <is>
          <t>Test</t>
        </is>
      </c>
      <c r="B51" t="inlineStr">
        <is>
          <t>Test Campaign</t>
        </is>
      </c>
      <c r="C51" s="2" t="n">
        <v>43697</v>
      </c>
      <c r="D51" t="n">
        <v>2712</v>
      </c>
      <c r="E51" t="n">
        <v>39470</v>
      </c>
      <c r="F51" t="n">
        <v>31893</v>
      </c>
      <c r="G51" t="n">
        <v>6050</v>
      </c>
      <c r="H51" t="n">
        <v>2061</v>
      </c>
      <c r="I51" t="n">
        <v>1894</v>
      </c>
      <c r="J51" t="n">
        <v>1047</v>
      </c>
      <c r="K51" t="n">
        <v>730</v>
      </c>
      <c r="L51" t="inlineStr"/>
    </row>
    <row r="52">
      <c r="A52" t="inlineStr">
        <is>
          <t>Test</t>
        </is>
      </c>
      <c r="B52" t="inlineStr">
        <is>
          <t>Test Campaign</t>
        </is>
      </c>
      <c r="C52" s="2" t="n">
        <v>43698</v>
      </c>
      <c r="D52" t="n">
        <v>3112</v>
      </c>
      <c r="E52" t="n">
        <v>133771</v>
      </c>
      <c r="F52" t="n">
        <v>109834</v>
      </c>
      <c r="G52" t="n">
        <v>5471</v>
      </c>
      <c r="H52" t="n">
        <v>1995</v>
      </c>
      <c r="I52" t="n">
        <v>1868</v>
      </c>
      <c r="J52" t="n">
        <v>278</v>
      </c>
      <c r="K52" t="n">
        <v>245</v>
      </c>
      <c r="L52" t="inlineStr"/>
    </row>
    <row r="53">
      <c r="A53" t="inlineStr">
        <is>
          <t>Test</t>
        </is>
      </c>
      <c r="B53" t="inlineStr">
        <is>
          <t>Test Campaign</t>
        </is>
      </c>
      <c r="C53" s="2" t="n">
        <v>43699</v>
      </c>
      <c r="D53" t="n">
        <v>2899</v>
      </c>
      <c r="E53" t="n">
        <v>34752</v>
      </c>
      <c r="F53" t="n">
        <v>27932</v>
      </c>
      <c r="G53" t="n">
        <v>4431</v>
      </c>
      <c r="H53" t="n">
        <v>1983</v>
      </c>
      <c r="I53" t="n">
        <v>1131</v>
      </c>
      <c r="J53" t="n">
        <v>367</v>
      </c>
      <c r="K53" t="n">
        <v>276</v>
      </c>
      <c r="L53" t="inlineStr"/>
    </row>
    <row r="54">
      <c r="A54" t="inlineStr">
        <is>
          <t>Test</t>
        </is>
      </c>
      <c r="B54" t="inlineStr">
        <is>
          <t>Test Campaign</t>
        </is>
      </c>
      <c r="C54" s="2" t="n">
        <v>43700</v>
      </c>
      <c r="D54" t="n">
        <v>2407</v>
      </c>
      <c r="E54" t="n">
        <v>60286</v>
      </c>
      <c r="F54" t="n">
        <v>49329</v>
      </c>
      <c r="G54" t="n">
        <v>5077</v>
      </c>
      <c r="H54" t="n">
        <v>2592</v>
      </c>
      <c r="I54" t="n">
        <v>2004</v>
      </c>
      <c r="J54" t="n">
        <v>632</v>
      </c>
      <c r="K54" t="n">
        <v>473</v>
      </c>
      <c r="L54" t="inlineStr"/>
    </row>
    <row r="55">
      <c r="A55" t="inlineStr">
        <is>
          <t>Test</t>
        </is>
      </c>
      <c r="B55" t="inlineStr">
        <is>
          <t>Test Campaign</t>
        </is>
      </c>
      <c r="C55" s="2" t="n">
        <v>43701</v>
      </c>
      <c r="D55" t="n">
        <v>2078</v>
      </c>
      <c r="E55" t="n">
        <v>36650</v>
      </c>
      <c r="F55" t="n">
        <v>30489</v>
      </c>
      <c r="G55" t="n">
        <v>7156</v>
      </c>
      <c r="H55" t="n">
        <v>2687</v>
      </c>
      <c r="I55" t="n">
        <v>2427</v>
      </c>
      <c r="J55" t="n">
        <v>327</v>
      </c>
      <c r="K55" t="n">
        <v>269</v>
      </c>
      <c r="L55" t="inlineStr"/>
    </row>
    <row r="56">
      <c r="A56" t="inlineStr">
        <is>
          <t>Test</t>
        </is>
      </c>
      <c r="B56" t="inlineStr">
        <is>
          <t>Test Campaign</t>
        </is>
      </c>
      <c r="C56" s="2" t="n">
        <v>43702</v>
      </c>
      <c r="D56" t="n">
        <v>2928</v>
      </c>
      <c r="E56" t="n">
        <v>120576</v>
      </c>
      <c r="F56" t="n">
        <v>105978</v>
      </c>
      <c r="G56" t="n">
        <v>3596</v>
      </c>
      <c r="H56" t="n">
        <v>2937</v>
      </c>
      <c r="I56" t="n">
        <v>2551</v>
      </c>
      <c r="J56" t="n">
        <v>1228</v>
      </c>
      <c r="K56" t="n">
        <v>651</v>
      </c>
      <c r="L56" t="inlineStr"/>
    </row>
    <row r="57">
      <c r="A57" t="inlineStr">
        <is>
          <t>Test</t>
        </is>
      </c>
      <c r="B57" t="inlineStr">
        <is>
          <t>Test Campaign</t>
        </is>
      </c>
      <c r="C57" s="2" t="n">
        <v>43703</v>
      </c>
      <c r="D57" t="n">
        <v>2311</v>
      </c>
      <c r="E57" t="n">
        <v>80841</v>
      </c>
      <c r="F57" t="n">
        <v>61589</v>
      </c>
      <c r="G57" t="n">
        <v>3820</v>
      </c>
      <c r="H57" t="n">
        <v>2037</v>
      </c>
      <c r="I57" t="n">
        <v>1046</v>
      </c>
      <c r="J57" t="n">
        <v>346</v>
      </c>
      <c r="K57" t="n">
        <v>284</v>
      </c>
      <c r="L57" t="inlineStr"/>
    </row>
    <row r="58">
      <c r="A58" t="inlineStr">
        <is>
          <t>Test</t>
        </is>
      </c>
      <c r="B58" t="inlineStr">
        <is>
          <t>Test Campaign</t>
        </is>
      </c>
      <c r="C58" s="2" t="n">
        <v>43704</v>
      </c>
      <c r="D58" t="n">
        <v>2915</v>
      </c>
      <c r="E58" t="n">
        <v>111469</v>
      </c>
      <c r="F58" t="n">
        <v>92159</v>
      </c>
      <c r="G58" t="n">
        <v>6435</v>
      </c>
      <c r="H58" t="n">
        <v>2976</v>
      </c>
      <c r="I58" t="n">
        <v>2552</v>
      </c>
      <c r="J58" t="n">
        <v>992</v>
      </c>
      <c r="K58" t="n">
        <v>771</v>
      </c>
      <c r="L58" t="inlineStr"/>
    </row>
    <row r="59">
      <c r="A59" t="inlineStr">
        <is>
          <t>Test</t>
        </is>
      </c>
      <c r="B59" t="inlineStr">
        <is>
          <t>Test Campaign</t>
        </is>
      </c>
      <c r="C59" s="2" t="n">
        <v>43705</v>
      </c>
      <c r="D59" t="n">
        <v>2247</v>
      </c>
      <c r="E59" t="n">
        <v>54627</v>
      </c>
      <c r="F59" t="n">
        <v>41267</v>
      </c>
      <c r="G59" t="n">
        <v>8144</v>
      </c>
      <c r="H59" t="n">
        <v>2432</v>
      </c>
      <c r="I59" t="n">
        <v>1281</v>
      </c>
      <c r="J59" t="n">
        <v>1009</v>
      </c>
      <c r="K59" t="n">
        <v>721</v>
      </c>
      <c r="L59" t="inlineStr"/>
    </row>
    <row r="60">
      <c r="A60" t="inlineStr">
        <is>
          <t>Test</t>
        </is>
      </c>
      <c r="B60" t="inlineStr">
        <is>
          <t>Test Campaign</t>
        </is>
      </c>
      <c r="C60" s="2" t="n">
        <v>43706</v>
      </c>
      <c r="D60" t="n">
        <v>2805</v>
      </c>
      <c r="E60" t="n">
        <v>67444</v>
      </c>
      <c r="F60" t="n">
        <v>43219</v>
      </c>
      <c r="G60" t="n">
        <v>7651</v>
      </c>
      <c r="H60" t="n">
        <v>1920</v>
      </c>
      <c r="I60" t="n">
        <v>1240</v>
      </c>
      <c r="J60" t="n">
        <v>1168</v>
      </c>
      <c r="K60" t="n">
        <v>677</v>
      </c>
      <c r="L60" t="inlineStr"/>
    </row>
    <row r="61">
      <c r="A61" t="inlineStr">
        <is>
          <t>Test</t>
        </is>
      </c>
      <c r="B61" t="inlineStr">
        <is>
          <t>Test Campaign</t>
        </is>
      </c>
      <c r="C61" s="2" t="n">
        <v>43707</v>
      </c>
      <c r="D61" t="n">
        <v>1977</v>
      </c>
      <c r="E61" t="n">
        <v>120203</v>
      </c>
      <c r="F61" t="n">
        <v>89380</v>
      </c>
      <c r="G61" t="n">
        <v>4399</v>
      </c>
      <c r="H61" t="n">
        <v>2978</v>
      </c>
      <c r="I61" t="n">
        <v>1625</v>
      </c>
      <c r="J61" t="n">
        <v>1034</v>
      </c>
      <c r="K61" t="n">
        <v>572</v>
      </c>
      <c r="L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2" customHeight="1">
      <c r="A1" s="3" t="inlineStr">
        <is>
          <t>Воронка Control vs Test — суми та середнє за день (дані: лист Data; 5.08 у контролі виключено)</t>
        </is>
      </c>
      <c r="B1" s="4" t="n"/>
      <c r="C1" s="4" t="n"/>
      <c r="D1" s="4" t="n"/>
      <c r="E1" s="4" t="n"/>
      <c r="F1" s="4" t="n"/>
    </row>
    <row r="3">
      <c r="A3" s="1" t="inlineStr">
        <is>
          <t>Крок</t>
        </is>
      </c>
      <c r="B3" s="1" t="inlineStr">
        <is>
          <t>Control, сума</t>
        </is>
      </c>
      <c r="C3" s="1" t="inlineStr">
        <is>
          <t>Test, сума</t>
        </is>
      </c>
      <c r="D3" s="1" t="inlineStr">
        <is>
          <t>Control, в середньому за день</t>
        </is>
      </c>
      <c r="E3" s="1" t="inlineStr">
        <is>
          <t>Test, в середньому за день</t>
        </is>
      </c>
      <c r="F3" s="1" t="inlineStr">
        <is>
          <t>Δ середнього за день, %</t>
        </is>
      </c>
    </row>
    <row r="4">
      <c r="A4" s="5" t="inlineStr">
        <is>
          <t>Покази</t>
        </is>
      </c>
      <c r="B4" s="6">
        <f>SUMIFS(Data!$E$2:$E$61,Data!$A$2:$A$61,"Control")</f>
        <v/>
      </c>
      <c r="C4" s="6">
        <f>SUMIFS(Data!$E$2:$E$61,Data!$A$2:$A$61,"Test")</f>
        <v/>
      </c>
      <c r="D4" s="6">
        <f>AVERAGEIFS(Data!$E$2:$E$61,Data!$A$2:$A$61,"Control")</f>
        <v/>
      </c>
      <c r="E4" s="6">
        <f>AVERAGEIFS(Data!$E$2:$E$61,Data!$A$2:$A$61,"Test")</f>
        <v/>
      </c>
      <c r="F4" s="7">
        <f>E4/D4-1</f>
        <v/>
      </c>
    </row>
    <row r="5">
      <c r="A5" s="5" t="inlineStr">
        <is>
          <t>Кліки</t>
        </is>
      </c>
      <c r="B5" s="6">
        <f>SUMIFS(Data!$G$2:$G$61,Data!$A$2:$A$61,"Control")</f>
        <v/>
      </c>
      <c r="C5" s="6">
        <f>SUMIFS(Data!$G$2:$G$61,Data!$A$2:$A$61,"Test")</f>
        <v/>
      </c>
      <c r="D5" s="6">
        <f>AVERAGEIFS(Data!$G$2:$G$61,Data!$A$2:$A$61,"Control")</f>
        <v/>
      </c>
      <c r="E5" s="6">
        <f>AVERAGEIFS(Data!$G$2:$G$61,Data!$A$2:$A$61,"Test")</f>
        <v/>
      </c>
      <c r="F5" s="7">
        <f>E5/D5-1</f>
        <v/>
      </c>
    </row>
    <row r="6">
      <c r="A6" s="5" t="inlineStr">
        <is>
          <t>Пошук</t>
        </is>
      </c>
      <c r="B6" s="6">
        <f>SUMIFS(Data!$H$2:$H$61,Data!$A$2:$A$61,"Control")</f>
        <v/>
      </c>
      <c r="C6" s="6">
        <f>SUMIFS(Data!$H$2:$H$61,Data!$A$2:$A$61,"Test")</f>
        <v/>
      </c>
      <c r="D6" s="6">
        <f>AVERAGEIFS(Data!$H$2:$H$61,Data!$A$2:$A$61,"Control")</f>
        <v/>
      </c>
      <c r="E6" s="6">
        <f>AVERAGEIFS(Data!$H$2:$H$61,Data!$A$2:$A$61,"Test")</f>
        <v/>
      </c>
      <c r="F6" s="7">
        <f>E6/D6-1</f>
        <v/>
      </c>
    </row>
    <row r="7">
      <c r="A7" s="5" t="inlineStr">
        <is>
          <t>Перегляд контенту</t>
        </is>
      </c>
      <c r="B7" s="6">
        <f>SUMIFS(Data!$I$2:$I$61,Data!$A$2:$A$61,"Control")</f>
        <v/>
      </c>
      <c r="C7" s="6">
        <f>SUMIFS(Data!$I$2:$I$61,Data!$A$2:$A$61,"Test")</f>
        <v/>
      </c>
      <c r="D7" s="6">
        <f>AVERAGEIFS(Data!$I$2:$I$61,Data!$A$2:$A$61,"Control")</f>
        <v/>
      </c>
      <c r="E7" s="6">
        <f>AVERAGEIFS(Data!$I$2:$I$61,Data!$A$2:$A$61,"Test")</f>
        <v/>
      </c>
      <c r="F7" s="7">
        <f>E7/D7-1</f>
        <v/>
      </c>
    </row>
    <row r="8">
      <c r="A8" s="5" t="inlineStr">
        <is>
          <t>Додавання в кошик</t>
        </is>
      </c>
      <c r="B8" s="6">
        <f>SUMIFS(Data!$J$2:$J$61,Data!$A$2:$A$61,"Control")</f>
        <v/>
      </c>
      <c r="C8" s="6">
        <f>SUMIFS(Data!$J$2:$J$61,Data!$A$2:$A$61,"Test")</f>
        <v/>
      </c>
      <c r="D8" s="6">
        <f>AVERAGEIFS(Data!$J$2:$J$61,Data!$A$2:$A$61,"Control")</f>
        <v/>
      </c>
      <c r="E8" s="6">
        <f>AVERAGEIFS(Data!$J$2:$J$61,Data!$A$2:$A$61,"Test")</f>
        <v/>
      </c>
      <c r="F8" s="7">
        <f>E8/D8-1</f>
        <v/>
      </c>
    </row>
    <row r="9">
      <c r="A9" s="5" t="inlineStr">
        <is>
          <t>Покупка</t>
        </is>
      </c>
      <c r="B9" s="6">
        <f>SUMIFS(Data!$K$2:$K$61,Data!$A$2:$A$61,"Control")</f>
        <v/>
      </c>
      <c r="C9" s="6">
        <f>SUMIFS(Data!$K$2:$K$61,Data!$A$2:$A$61,"Test")</f>
        <v/>
      </c>
      <c r="D9" s="6">
        <f>AVERAGEIFS(Data!$K$2:$K$61,Data!$A$2:$A$61,"Control")</f>
        <v/>
      </c>
      <c r="E9" s="6">
        <f>AVERAGEIFS(Data!$K$2:$K$61,Data!$A$2:$A$61,"Test")</f>
        <v/>
      </c>
      <c r="F9" s="7">
        <f>E9/D9-1</f>
        <v/>
      </c>
    </row>
    <row r="11">
      <c r="A11" s="5" t="inlineStr">
        <is>
          <t>Кількість днів у даних</t>
        </is>
      </c>
      <c r="B11" s="5">
        <f>COUNTIFS(Data!$A$2:$A$61,"Control",Data!$L$2:$L$61,"&lt;&gt;YES")</f>
        <v/>
      </c>
      <c r="C11" s="5">
        <f>COUNTIFS(Data!$A$2:$A$61,"Test",Data!$L$2:$L$61,"&lt;&gt;YES")</f>
        <v/>
      </c>
    </row>
    <row r="12">
      <c r="A12" s="5" t="inlineStr">
        <is>
          <t>Spend, сума ($)</t>
        </is>
      </c>
      <c r="B12" s="8">
        <f>SUMIFS(Data!$D$2:$D$61,Data!$A$2:$A$61,"Control",Data!$L$2:$L$61,"&lt;&gt;YES")</f>
        <v/>
      </c>
      <c r="C12" s="8">
        <f>SUMIFS(Data!$D$2:$D$61,Data!$A$2:$A$61,"Test",Data!$L$2:$L$61,"&lt;&gt;YES")</f>
        <v/>
      </c>
    </row>
    <row r="13">
      <c r="A13" s="5" t="inlineStr">
        <is>
          <t>CPA = Spend / Purchase ($)</t>
        </is>
      </c>
      <c r="B13" s="8">
        <f>B12/B9</f>
        <v/>
      </c>
      <c r="C13" s="8">
        <f>C12/C9</f>
        <v/>
      </c>
    </row>
    <row r="14">
      <c r="A14" s="5" t="inlineStr">
        <is>
          <t>CPM ($)</t>
        </is>
      </c>
      <c r="B14" s="8">
        <f>B12/B4*1000</f>
        <v/>
      </c>
      <c r="C14" s="8">
        <f>C12/C4*1000</f>
        <v/>
      </c>
    </row>
    <row r="15">
      <c r="A15" s="5" t="inlineStr">
        <is>
          <t>CTR (кліки / покази)</t>
        </is>
      </c>
      <c r="B15" s="9">
        <f>B5/B4</f>
        <v/>
      </c>
      <c r="C15" s="9">
        <f>C5/C4</f>
        <v/>
      </c>
    </row>
    <row r="17">
      <c r="A17" s="10" t="inlineStr">
        <is>
          <t>Конверсія між кроками</t>
        </is>
      </c>
    </row>
    <row r="18">
      <c r="A18" s="1" t="inlineStr">
        <is>
          <t>Перехід</t>
        </is>
      </c>
      <c r="B18" s="1" t="inlineStr">
        <is>
          <t>Control</t>
        </is>
      </c>
      <c r="C18" s="1" t="inlineStr">
        <is>
          <t>Test</t>
        </is>
      </c>
      <c r="D18" s="1" t="inlineStr">
        <is>
          <t>Δ, п.п.</t>
        </is>
      </c>
      <c r="E18" s="1" t="inlineStr">
        <is>
          <t>% від кліків: Control</t>
        </is>
      </c>
      <c r="F18" s="1" t="inlineStr">
        <is>
          <t>% від кліків: Test</t>
        </is>
      </c>
    </row>
    <row r="19">
      <c r="A19" s="5" t="inlineStr">
        <is>
          <t>Покази → Кліки</t>
        </is>
      </c>
      <c r="B19" s="7">
        <f>B5/B4</f>
        <v/>
      </c>
      <c r="C19" s="7">
        <f>C5/C4</f>
        <v/>
      </c>
      <c r="D19" s="11">
        <f>(C19-B19)*100</f>
        <v/>
      </c>
      <c r="E19" s="7">
        <f>B5/B$5</f>
        <v/>
      </c>
      <c r="F19" s="7">
        <f>C5/C$5</f>
        <v/>
      </c>
    </row>
    <row r="20">
      <c r="A20" s="5" t="inlineStr">
        <is>
          <t>Кліки → Пошук</t>
        </is>
      </c>
      <c r="B20" s="7">
        <f>B6/B5</f>
        <v/>
      </c>
      <c r="C20" s="7">
        <f>C6/C5</f>
        <v/>
      </c>
      <c r="D20" s="11">
        <f>(C20-B20)*100</f>
        <v/>
      </c>
      <c r="E20" s="7">
        <f>B6/B$5</f>
        <v/>
      </c>
      <c r="F20" s="7">
        <f>C6/C$5</f>
        <v/>
      </c>
    </row>
    <row r="21">
      <c r="A21" s="5" t="inlineStr">
        <is>
          <t>Пошук → Перегляд контенту</t>
        </is>
      </c>
      <c r="B21" s="7">
        <f>B7/B6</f>
        <v/>
      </c>
      <c r="C21" s="7">
        <f>C7/C6</f>
        <v/>
      </c>
      <c r="D21" s="11">
        <f>(C21-B21)*100</f>
        <v/>
      </c>
      <c r="E21" s="7">
        <f>B7/B$5</f>
        <v/>
      </c>
      <c r="F21" s="7">
        <f>C7/C$5</f>
        <v/>
      </c>
    </row>
    <row r="22">
      <c r="A22" s="5" t="inlineStr">
        <is>
          <t>Перегляд контенту → Додавання в кошик</t>
        </is>
      </c>
      <c r="B22" s="7">
        <f>B8/B7</f>
        <v/>
      </c>
      <c r="C22" s="7">
        <f>C8/C7</f>
        <v/>
      </c>
      <c r="D22" s="11">
        <f>(C22-B22)*100</f>
        <v/>
      </c>
      <c r="E22" s="7">
        <f>B8/B$5</f>
        <v/>
      </c>
      <c r="F22" s="7">
        <f>C8/C$5</f>
        <v/>
      </c>
    </row>
    <row r="23">
      <c r="A23" s="5" t="inlineStr">
        <is>
          <t>Додавання в кошик → Покупка</t>
        </is>
      </c>
      <c r="B23" s="7">
        <f>B9/B8</f>
        <v/>
      </c>
      <c r="C23" s="7">
        <f>C9/C8</f>
        <v/>
      </c>
      <c r="D23" s="11">
        <f>(C23-B23)*100</f>
        <v/>
      </c>
      <c r="E23" s="7">
        <f>B9/B$5</f>
        <v/>
      </c>
      <c r="F23" s="7">
        <f>C9/C$5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12" t="inlineStr">
        <is>
          <t>Висновки по воронці</t>
        </is>
      </c>
    </row>
    <row r="2" ht="34" customHeight="1">
      <c r="A2" s="13" t="inlineStr">
        <is>
          <t>1. Верх воронки: у тесті на 32% менше показів на день і на 40% менший охват, при +11% витрат. CPM $34.4 vs $21.0, але CTR 8.1% vs 4.9%. Імовірне пояснення (гіпотеза, у даних перевірити неможливо): реклама показується вужчій, активнішій аудиторії.</t>
        </is>
      </c>
    </row>
    <row r="3">
      <c r="A3" s="13" t="inlineStr">
        <is>
          <t>2. Кліків на день більше на 13%, але різниця не значима (p=0.12).</t>
        </is>
      </c>
    </row>
    <row r="4">
      <c r="A4" s="13" t="inlineStr">
        <is>
          <t>3. Середина: клік→пошук 40.1% vs 41.7%; пошук→перегляд контенту 76.8% vs 87.5% (Test vs Control).</t>
        </is>
      </c>
    </row>
    <row r="5">
      <c r="A5" s="13" t="inlineStr">
        <is>
          <t>4. Головна просадка — перегляд→кошик: 47.4% vs 66.9%. Додавань у кошик на день на 32% менше (p=0.0001).</t>
        </is>
      </c>
    </row>
    <row r="6">
      <c r="A6" s="13" t="inlineStr">
        <is>
          <t>5. Кошик→покупка: 59.1% vs 40.2%. Хто дійшов до кошика, купує значно частіше.</t>
        </is>
      </c>
    </row>
    <row r="7" ht="34" customHeight="1">
      <c r="A7" s="13" t="inlineStr">
        <is>
          <t>6. Покупок на день порівну (521 vs 523, p=0.98), витрати вищі → CPA $4.92 vs $4.41 (+12% у сумі); по днях різниця CPA не значима (p=0.19).</t>
        </is>
      </c>
    </row>
    <row r="8" ht="34" customHeight="1">
      <c r="A8" s="13" t="inlineStr">
        <is>
          <t>7. Висновок: нова стратегія не збільшила кількість покупок, а покупка обійшлась дорожче (+12% у сумі, хоча по днях це не значимо). Кроки воронки рухаються в різні боки: перегляд→кошик падає, кошик→покупка зростає.</t>
        </is>
      </c>
    </row>
    <row r="9">
      <c r="A9" s="14" t="inlineStr"/>
    </row>
    <row r="10" ht="34" customHeight="1">
      <c r="A10" s="13" t="inlineStr">
        <is>
          <t>Примітка про дані: 5.08.2019 у контролі є лише Spend ($1835), решта метрик порожні — день виключено з розрахунків (прапорець в колонці L листа Data). У тесті всі 30 днів збережено, тому суми порівнюються і як сума, і як середнє за день.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2026-10-16T17:28:36Z</dcterms:created>
  <dcterms:modified xmlns:dcterms="http://purl.org/dc/terms/" xmlns:xsi="http://www.w3.org/2001/XMLSchema-instance" xsi:type="dcterms:W3CDTF">2026-10-16T17:28:36Z</dcterms:modified>
</cp:coreProperties>
</file>